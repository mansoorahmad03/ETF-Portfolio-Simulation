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man\python-docker-app\operations-claims-eded247b-f64cb1d8bc9b\tasks\7ETFPortfolioSimulationV1\solution\"/>
    </mc:Choice>
  </mc:AlternateContent>
  <xr:revisionPtr revIDLastSave="0" documentId="13_ncr:1_{AD54AD38-4EBB-4135-9C39-CC0B7734BE42}" xr6:coauthVersionLast="47" xr6:coauthVersionMax="47" xr10:uidLastSave="{00000000-0000-0000-0000-000000000000}"/>
  <bookViews>
    <workbookView xWindow="28680" yWindow="1425" windowWidth="29040" windowHeight="15720" xr2:uid="{9C0C9B0D-F0A0-4C56-8854-40582237A1C4}"/>
  </bookViews>
  <sheets>
    <sheet name="Portfolio Pl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H15" i="1"/>
  <c r="H14" i="1"/>
  <c r="H13" i="1"/>
  <c r="H12" i="1"/>
  <c r="I18" i="1"/>
  <c r="I17" i="1"/>
  <c r="I16" i="1"/>
  <c r="I15" i="1"/>
  <c r="I14" i="1"/>
  <c r="I13" i="1"/>
  <c r="I12" i="1"/>
  <c r="I8" i="1"/>
  <c r="F8" i="1" s="1"/>
  <c r="I7" i="1"/>
  <c r="I6" i="1"/>
  <c r="I5" i="1"/>
  <c r="I4" i="1"/>
  <c r="I3" i="1"/>
  <c r="I2" i="1"/>
  <c r="Q15" i="1" l="1"/>
  <c r="U15" i="1" s="1"/>
  <c r="X15" i="1" s="1"/>
  <c r="Q17" i="1"/>
  <c r="U17" i="1" s="1"/>
  <c r="X17" i="1" s="1"/>
  <c r="Q4" i="1"/>
  <c r="U4" i="1" s="1"/>
  <c r="X4" i="1" s="1"/>
  <c r="Q13" i="1"/>
  <c r="U13" i="1" s="1"/>
  <c r="X13" i="1" s="1"/>
  <c r="Q14" i="1"/>
  <c r="U14" i="1" s="1"/>
  <c r="X14" i="1" s="1"/>
  <c r="Q16" i="1"/>
  <c r="Q12" i="1"/>
  <c r="U12" i="1" s="1"/>
  <c r="Q18" i="1"/>
  <c r="U18" i="1" s="1"/>
  <c r="X18" i="1" s="1"/>
  <c r="F12" i="1"/>
  <c r="Q3" i="1"/>
  <c r="U3" i="1" s="1"/>
  <c r="X3" i="1" s="1"/>
  <c r="M9" i="1"/>
  <c r="Q6" i="1"/>
  <c r="U6" i="1" s="1"/>
  <c r="X6" i="1" s="1"/>
  <c r="F18" i="1"/>
  <c r="F17" i="1"/>
  <c r="F13" i="1"/>
  <c r="F15" i="1"/>
  <c r="B14" i="1"/>
  <c r="B13" i="1"/>
  <c r="B15" i="1"/>
  <c r="Q8" i="1"/>
  <c r="U8" i="1" s="1"/>
  <c r="X8" i="1" s="1"/>
  <c r="F14" i="1"/>
  <c r="Q2" i="1"/>
  <c r="B17" i="1"/>
  <c r="B18" i="1"/>
  <c r="B12" i="1"/>
  <c r="M19" i="1"/>
  <c r="B8" i="1"/>
  <c r="Q7" i="1"/>
  <c r="U7" i="1" s="1"/>
  <c r="X7" i="1" s="1"/>
  <c r="Q5" i="1"/>
  <c r="U5" i="1" s="1"/>
  <c r="X5" i="1" s="1"/>
  <c r="B3" i="1"/>
  <c r="F3" i="1"/>
  <c r="B5" i="1"/>
  <c r="F5" i="1"/>
  <c r="B7" i="1"/>
  <c r="F7" i="1"/>
  <c r="B2" i="1"/>
  <c r="F2" i="1"/>
  <c r="B6" i="1"/>
  <c r="F6" i="1"/>
  <c r="B4" i="1"/>
  <c r="F4" i="1"/>
  <c r="F16" i="1" l="1"/>
  <c r="F19" i="1" s="1"/>
  <c r="B16" i="1"/>
  <c r="B19" i="1" s="1"/>
  <c r="U16" i="1"/>
  <c r="X16" i="1" s="1"/>
  <c r="U2" i="1"/>
  <c r="Q9" i="1"/>
  <c r="F9" i="1"/>
  <c r="B9" i="1"/>
  <c r="AB12" i="1" s="1"/>
  <c r="X12" i="1"/>
  <c r="X19" i="1" l="1"/>
  <c r="U19" i="1"/>
  <c r="Q19" i="1"/>
  <c r="AB18" i="1"/>
  <c r="AB8" i="1"/>
  <c r="AB15" i="1"/>
  <c r="AB14" i="1"/>
  <c r="AB16" i="1"/>
  <c r="AB13" i="1"/>
  <c r="X2" i="1"/>
  <c r="X9" i="1" s="1"/>
  <c r="U9" i="1"/>
  <c r="AB17" i="1"/>
  <c r="AB2" i="1"/>
  <c r="AB7" i="1"/>
  <c r="AB3" i="1"/>
  <c r="AB5" i="1"/>
  <c r="AB6" i="1"/>
  <c r="AB4" i="1"/>
  <c r="AB19" i="1" l="1"/>
  <c r="AB9" i="1"/>
</calcChain>
</file>

<file path=xl/sharedStrings.xml><?xml version="1.0" encoding="utf-8"?>
<sst xmlns="http://schemas.openxmlformats.org/spreadsheetml/2006/main" count="61" uniqueCount="25">
  <si>
    <t>Investment</t>
  </si>
  <si>
    <t>PGHY</t>
  </si>
  <si>
    <t>HYBL</t>
  </si>
  <si>
    <t>Total</t>
  </si>
  <si>
    <t>BKLN</t>
  </si>
  <si>
    <t>BAB</t>
  </si>
  <si>
    <t>VRP</t>
  </si>
  <si>
    <t>VYMI</t>
  </si>
  <si>
    <t>AMDY</t>
  </si>
  <si>
    <t>Dividend/Share per Year</t>
  </si>
  <si>
    <t>% Invested</t>
  </si>
  <si>
    <t>Model Figure</t>
  </si>
  <si>
    <t>DIFF</t>
  </si>
  <si>
    <t>Cost Basis Total</t>
  </si>
  <si>
    <t>Market Value Total (SAME)</t>
  </si>
  <si>
    <t>Market Value 09/17/2026</t>
  </si>
  <si>
    <t>Cost per Share (12/31)</t>
  </si>
  <si>
    <t>Cost per Share (SAME)</t>
  </si>
  <si>
    <t>Total Share Qty</t>
  </si>
  <si>
    <t>Total ETF Dividend/Share per Year</t>
  </si>
  <si>
    <t>Total ETF Dividend per Month (Gross)</t>
  </si>
  <si>
    <t>Total ETF Dividend per Year (Gross)</t>
  </si>
  <si>
    <t>Total ETF Dividend per Month (Net/15% Tax)</t>
  </si>
  <si>
    <t>New Market Value per Share (09/17/2026)</t>
  </si>
  <si>
    <t>Total ETF Dividend per Year (Gross)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</si>
</sst>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3" fontId="0" fillId="0" borderId="0" xfId="1" applyFont="1"/>
    <xf numFmtId="164" fontId="0" fillId="0" borderId="0" xfId="0" applyNumberFormat="1"/>
    <xf numFmtId="0" fontId="2" fillId="0" borderId="0" xfId="0" applyFont="1"/>
    <xf numFmtId="43" fontId="0" fillId="0" borderId="0" xfId="0" applyNumberFormat="1"/>
    <xf numFmtId="43" fontId="0" fillId="0" borderId="0" xfId="1" applyFont="1" applyBorder="1"/>
    <xf numFmtId="0" fontId="2" fillId="0" borderId="0" xfId="0" applyFont="1" applyAlignment="1">
      <alignment wrapText="1"/>
    </xf>
    <xf numFmtId="43" fontId="2" fillId="0" borderId="0" xfId="0" applyNumberFormat="1" applyFont="1"/>
    <xf numFmtId="10" fontId="0" fillId="0" borderId="0" xfId="0" applyNumberFormat="1"/>
    <xf numFmtId="43" fontId="0" fillId="0" borderId="1" xfId="1" applyFont="1" applyBorder="1"/>
    <xf numFmtId="43" fontId="0" fillId="0" borderId="1" xfId="0" applyNumberFormat="1" applyBorder="1"/>
    <xf numFmtId="164" fontId="0" fillId="0" borderId="1" xfId="0" applyNumberFormat="1" applyBorder="1"/>
    <xf numFmtId="9" fontId="0" fillId="0" borderId="1" xfId="2" applyFont="1" applyBorder="1"/>
    <xf numFmtId="9" fontId="0" fillId="0" borderId="0" xfId="2" applyFont="1" applyBorder="1"/>
    <xf numFmtId="0" fontId="0" fillId="0" borderId="1" xfId="0" applyBorder="1"/>
    <xf numFmtId="43" fontId="2" fillId="0" borderId="2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1F8A-1A16-4562-9290-5D09F7949E2D}">
  <dimension ref="A1:AB19"/>
  <sheetViews>
    <sheetView tabSelected="1" workbookViewId="0">
      <pane xSplit="8" ySplit="1" topLeftCell="I2" activePane="bottomRight" state="frozen"/>
      <selection pane="topRight" activeCell="G1" sqref="G1"/>
      <selection pane="bottomLeft" activeCell="A3" sqref="A3"/>
      <selection pane="bottomRight" activeCell="M12" sqref="M12"/>
    </sheetView>
  </sheetViews>
  <sheetFormatPr defaultRowHeight="15" x14ac:dyDescent="0.25"/>
  <cols>
    <col min="1" max="1" width="16.7109375" bestFit="1" customWidth="1"/>
    <col min="2" max="2" width="11.5703125" bestFit="1" customWidth="1"/>
    <col min="3" max="5" width="11.5703125" customWidth="1"/>
    <col min="6" max="6" width="23.42578125" bestFit="1" customWidth="1"/>
    <col min="7" max="7" width="19.140625" bestFit="1" customWidth="1"/>
    <col min="8" max="8" width="22.28515625" bestFit="1" customWidth="1"/>
    <col min="9" max="9" width="9.5703125" bestFit="1" customWidth="1"/>
    <col min="10" max="12" width="9.5703125" customWidth="1"/>
    <col min="13" max="13" width="16.85546875" bestFit="1" customWidth="1"/>
    <col min="14" max="16" width="16.85546875" customWidth="1"/>
    <col min="17" max="20" width="28.140625" customWidth="1"/>
    <col min="21" max="21" width="26" bestFit="1" customWidth="1"/>
    <col min="22" max="23" width="26" customWidth="1"/>
    <col min="24" max="24" width="24.28515625" bestFit="1" customWidth="1"/>
    <col min="25" max="27" width="24.28515625" customWidth="1"/>
    <col min="28" max="28" width="11.140625" bestFit="1" customWidth="1"/>
  </cols>
  <sheetData>
    <row r="1" spans="1:28" ht="45" x14ac:dyDescent="0.25">
      <c r="A1" s="6" t="s">
        <v>0</v>
      </c>
      <c r="B1" s="6" t="s">
        <v>13</v>
      </c>
      <c r="C1" s="6" t="s">
        <v>11</v>
      </c>
      <c r="D1" s="6" t="s">
        <v>12</v>
      </c>
      <c r="E1" s="6"/>
      <c r="F1" s="6" t="s">
        <v>14</v>
      </c>
      <c r="G1" s="6" t="s">
        <v>16</v>
      </c>
      <c r="H1" s="6" t="s">
        <v>17</v>
      </c>
      <c r="I1" s="6" t="s">
        <v>18</v>
      </c>
      <c r="J1" s="6" t="s">
        <v>11</v>
      </c>
      <c r="K1" s="6" t="s">
        <v>12</v>
      </c>
      <c r="L1" s="6"/>
      <c r="M1" s="6" t="s">
        <v>19</v>
      </c>
      <c r="N1" s="6" t="s">
        <v>11</v>
      </c>
      <c r="O1" s="6" t="s">
        <v>12</v>
      </c>
      <c r="P1" s="6"/>
      <c r="Q1" s="6" t="s">
        <v>21</v>
      </c>
      <c r="R1" s="6" t="s">
        <v>11</v>
      </c>
      <c r="S1" s="6" t="s">
        <v>12</v>
      </c>
      <c r="T1" s="6"/>
      <c r="U1" s="6" t="s">
        <v>20</v>
      </c>
      <c r="V1" s="6" t="s">
        <v>11</v>
      </c>
      <c r="W1" s="6" t="s">
        <v>12</v>
      </c>
      <c r="X1" s="6" t="s">
        <v>22</v>
      </c>
      <c r="Y1" s="6" t="s">
        <v>11</v>
      </c>
      <c r="Z1" s="6" t="s">
        <v>12</v>
      </c>
      <c r="AA1" s="6"/>
      <c r="AB1" s="3" t="s">
        <v>10</v>
      </c>
    </row>
    <row r="2" spans="1:28" x14ac:dyDescent="0.25">
      <c r="A2" t="s">
        <v>5</v>
      </c>
      <c r="B2" s="1">
        <f t="shared" ref="B2:B6" si="0">G2*I2</f>
        <v>33320</v>
      </c>
      <c r="C2" s="1"/>
      <c r="D2" s="1"/>
      <c r="E2" s="1"/>
      <c r="F2" s="1">
        <f t="shared" ref="F2:F6" si="1">I2*H2</f>
        <v>0</v>
      </c>
      <c r="G2" s="1">
        <v>27.2</v>
      </c>
      <c r="H2" s="1"/>
      <c r="I2" s="4">
        <f t="shared" ref="I2:I7" si="2">ROUND(((200000/6)/G2),0)</f>
        <v>1225</v>
      </c>
      <c r="J2" s="4"/>
      <c r="K2" s="4"/>
      <c r="L2" s="4"/>
      <c r="M2" s="2">
        <v>1.1280000000000001</v>
      </c>
      <c r="N2" s="2"/>
      <c r="O2" s="2"/>
      <c r="P2" s="2"/>
      <c r="Q2" s="1">
        <f t="shared" ref="Q2:Q6" si="3">M2*I2</f>
        <v>1381.8000000000002</v>
      </c>
      <c r="R2" s="1"/>
      <c r="S2" s="1"/>
      <c r="T2" s="1"/>
      <c r="U2" s="1">
        <f t="shared" ref="U2:U6" si="4">Q2/12</f>
        <v>115.15000000000002</v>
      </c>
      <c r="V2" s="1"/>
      <c r="W2" s="1"/>
      <c r="X2" s="4">
        <f t="shared" ref="X2:X6" si="5">U2*0.85</f>
        <v>97.877500000000012</v>
      </c>
      <c r="Y2" s="4"/>
      <c r="Z2" s="4"/>
      <c r="AA2" s="4"/>
      <c r="AB2" s="13">
        <f t="shared" ref="AB2:AB8" si="6">B2/$B$9</f>
        <v>0.13331593931091945</v>
      </c>
    </row>
    <row r="3" spans="1:28" x14ac:dyDescent="0.25">
      <c r="A3" t="s">
        <v>4</v>
      </c>
      <c r="B3" s="1">
        <f t="shared" si="0"/>
        <v>33327</v>
      </c>
      <c r="C3" s="1"/>
      <c r="D3" s="1"/>
      <c r="E3" s="1"/>
      <c r="F3" s="1">
        <f t="shared" si="1"/>
        <v>0</v>
      </c>
      <c r="G3" s="1">
        <v>21</v>
      </c>
      <c r="H3" s="1"/>
      <c r="I3" s="4">
        <f t="shared" si="2"/>
        <v>1587</v>
      </c>
      <c r="J3" s="4"/>
      <c r="K3" s="4"/>
      <c r="L3" s="4"/>
      <c r="M3" s="2">
        <v>1.236</v>
      </c>
      <c r="N3" s="2"/>
      <c r="O3" s="2"/>
      <c r="P3" s="2"/>
      <c r="Q3" s="1">
        <f t="shared" si="3"/>
        <v>1961.5319999999999</v>
      </c>
      <c r="R3" s="1"/>
      <c r="S3" s="1"/>
      <c r="T3" s="1"/>
      <c r="U3" s="1">
        <f t="shared" si="4"/>
        <v>163.46099999999998</v>
      </c>
      <c r="V3" s="1"/>
      <c r="W3" s="1"/>
      <c r="X3" s="4">
        <f t="shared" si="5"/>
        <v>138.94184999999999</v>
      </c>
      <c r="Y3" s="4"/>
      <c r="Z3" s="4"/>
      <c r="AA3" s="4"/>
      <c r="AB3" s="13">
        <f t="shared" si="6"/>
        <v>0.13334394686119486</v>
      </c>
    </row>
    <row r="4" spans="1:28" x14ac:dyDescent="0.25">
      <c r="A4" t="s">
        <v>2</v>
      </c>
      <c r="B4" s="1">
        <f t="shared" si="0"/>
        <v>33331.68</v>
      </c>
      <c r="C4" s="1"/>
      <c r="D4" s="1"/>
      <c r="E4" s="1"/>
      <c r="F4" s="1">
        <f t="shared" si="1"/>
        <v>0</v>
      </c>
      <c r="G4" s="1">
        <v>28.44</v>
      </c>
      <c r="H4" s="1"/>
      <c r="I4" s="4">
        <f t="shared" si="2"/>
        <v>1172</v>
      </c>
      <c r="J4" s="4"/>
      <c r="K4" s="4"/>
      <c r="L4" s="4"/>
      <c r="M4" s="2">
        <v>2.016</v>
      </c>
      <c r="N4" s="2"/>
      <c r="O4" s="2"/>
      <c r="P4" s="2"/>
      <c r="Q4" s="1">
        <f t="shared" si="3"/>
        <v>2362.752</v>
      </c>
      <c r="R4" s="1"/>
      <c r="S4" s="1"/>
      <c r="T4" s="1"/>
      <c r="U4" s="1">
        <f t="shared" si="4"/>
        <v>196.89599999999999</v>
      </c>
      <c r="V4" s="1"/>
      <c r="W4" s="1"/>
      <c r="X4" s="4">
        <f t="shared" si="5"/>
        <v>167.36159999999998</v>
      </c>
      <c r="Y4" s="4"/>
      <c r="Z4" s="4"/>
      <c r="AA4" s="4"/>
      <c r="AB4" s="13">
        <f t="shared" si="6"/>
        <v>0.13336267190909326</v>
      </c>
    </row>
    <row r="5" spans="1:28" x14ac:dyDescent="0.25">
      <c r="A5" t="s">
        <v>1</v>
      </c>
      <c r="B5" s="1">
        <f t="shared" si="0"/>
        <v>33324.125</v>
      </c>
      <c r="C5" s="1"/>
      <c r="D5" s="1"/>
      <c r="E5" s="1"/>
      <c r="F5" s="1">
        <f t="shared" si="1"/>
        <v>0</v>
      </c>
      <c r="G5" s="1">
        <v>19.895</v>
      </c>
      <c r="H5" s="1"/>
      <c r="I5" s="4">
        <f t="shared" si="2"/>
        <v>1675</v>
      </c>
      <c r="J5" s="4"/>
      <c r="K5" s="4"/>
      <c r="L5" s="4"/>
      <c r="M5" s="2">
        <v>1.46028</v>
      </c>
      <c r="N5" s="2"/>
      <c r="O5" s="2"/>
      <c r="P5" s="2"/>
      <c r="Q5" s="1">
        <f t="shared" si="3"/>
        <v>2445.9690000000001</v>
      </c>
      <c r="R5" s="1"/>
      <c r="S5" s="1"/>
      <c r="T5" s="1"/>
      <c r="U5" s="1">
        <f t="shared" si="4"/>
        <v>203.83074999999999</v>
      </c>
      <c r="V5" s="1"/>
      <c r="W5" s="1"/>
      <c r="X5" s="4">
        <f t="shared" si="5"/>
        <v>173.25613749999999</v>
      </c>
      <c r="Y5" s="4"/>
      <c r="Z5" s="4"/>
      <c r="AA5" s="4"/>
      <c r="AB5" s="13">
        <f t="shared" si="6"/>
        <v>0.13333244376018888</v>
      </c>
    </row>
    <row r="6" spans="1:28" x14ac:dyDescent="0.25">
      <c r="A6" t="s">
        <v>6</v>
      </c>
      <c r="B6" s="1">
        <f t="shared" si="0"/>
        <v>33332.1</v>
      </c>
      <c r="C6" s="1"/>
      <c r="D6" s="1"/>
      <c r="E6" s="1"/>
      <c r="F6" s="1">
        <f t="shared" si="1"/>
        <v>0</v>
      </c>
      <c r="G6" s="5">
        <v>24.33</v>
      </c>
      <c r="H6" s="5"/>
      <c r="I6" s="4">
        <f t="shared" si="2"/>
        <v>1370</v>
      </c>
      <c r="J6" s="4"/>
      <c r="K6" s="4"/>
      <c r="L6" s="4"/>
      <c r="M6" s="2">
        <v>2.52</v>
      </c>
      <c r="N6" s="2"/>
      <c r="O6" s="2"/>
      <c r="P6" s="2"/>
      <c r="Q6" s="5">
        <f t="shared" si="3"/>
        <v>3452.4</v>
      </c>
      <c r="R6" s="5"/>
      <c r="S6" s="5"/>
      <c r="T6" s="5"/>
      <c r="U6" s="5">
        <f t="shared" si="4"/>
        <v>287.7</v>
      </c>
      <c r="V6" s="5"/>
      <c r="W6" s="5"/>
      <c r="X6" s="4">
        <f t="shared" si="5"/>
        <v>244.54499999999999</v>
      </c>
      <c r="Y6" s="4"/>
      <c r="Z6" s="4"/>
      <c r="AA6" s="4"/>
      <c r="AB6" s="13">
        <f t="shared" si="6"/>
        <v>0.13336435236210978</v>
      </c>
    </row>
    <row r="7" spans="1:28" x14ac:dyDescent="0.25">
      <c r="A7" t="s">
        <v>7</v>
      </c>
      <c r="B7" s="5">
        <f t="shared" ref="B7" si="7">G7*I7</f>
        <v>33300</v>
      </c>
      <c r="C7" s="5"/>
      <c r="D7" s="5"/>
      <c r="E7" s="5"/>
      <c r="F7" s="5">
        <f t="shared" ref="F7" si="8">I7*H7</f>
        <v>0</v>
      </c>
      <c r="G7" s="5">
        <v>90</v>
      </c>
      <c r="H7" s="5"/>
      <c r="I7" s="4">
        <f t="shared" si="2"/>
        <v>370</v>
      </c>
      <c r="J7" s="4"/>
      <c r="K7" s="4"/>
      <c r="L7" s="4"/>
      <c r="M7" s="2">
        <v>3.7559999999999998</v>
      </c>
      <c r="N7" s="2"/>
      <c r="O7" s="2"/>
      <c r="P7" s="2"/>
      <c r="Q7" s="5">
        <f t="shared" ref="Q7" si="9">M7*I7</f>
        <v>1389.72</v>
      </c>
      <c r="R7" s="5"/>
      <c r="S7" s="5"/>
      <c r="T7" s="5"/>
      <c r="U7" s="5">
        <f t="shared" ref="U7" si="10">Q7/12</f>
        <v>115.81</v>
      </c>
      <c r="V7" s="5"/>
      <c r="W7" s="5"/>
      <c r="X7" s="4">
        <f t="shared" ref="X7" si="11">U7*0.85</f>
        <v>98.438500000000005</v>
      </c>
      <c r="Y7" s="4"/>
      <c r="Z7" s="4"/>
      <c r="AA7" s="4"/>
      <c r="AB7" s="13">
        <f t="shared" si="6"/>
        <v>0.133235917738704</v>
      </c>
    </row>
    <row r="8" spans="1:28" x14ac:dyDescent="0.25">
      <c r="A8" s="14" t="s">
        <v>8</v>
      </c>
      <c r="B8" s="9">
        <f t="shared" ref="B8" si="12">G8*I8</f>
        <v>49997.7</v>
      </c>
      <c r="C8" s="9"/>
      <c r="D8" s="9"/>
      <c r="E8" s="9"/>
      <c r="F8" s="9">
        <f t="shared" ref="F8" si="13">I8*H8</f>
        <v>0</v>
      </c>
      <c r="G8" s="9">
        <v>38.049999999999997</v>
      </c>
      <c r="H8" s="9"/>
      <c r="I8" s="10">
        <f>ROUND(((50000)/G8),0)</f>
        <v>1314</v>
      </c>
      <c r="J8" s="10"/>
      <c r="K8" s="10"/>
      <c r="L8" s="10"/>
      <c r="M8" s="11">
        <v>21.423999999999999</v>
      </c>
      <c r="N8" s="11"/>
      <c r="O8" s="11"/>
      <c r="P8" s="11"/>
      <c r="Q8" s="9">
        <f t="shared" ref="Q8" si="14">M8*I8</f>
        <v>28151.135999999999</v>
      </c>
      <c r="R8" s="9"/>
      <c r="S8" s="9"/>
      <c r="T8" s="9"/>
      <c r="U8" s="9">
        <f t="shared" ref="U8" si="15">Q8/12</f>
        <v>2345.9279999999999</v>
      </c>
      <c r="V8" s="9"/>
      <c r="W8" s="9"/>
      <c r="X8" s="10">
        <f t="shared" ref="X8" si="16">U8*0.85</f>
        <v>1994.0387999999998</v>
      </c>
      <c r="Y8" s="10"/>
      <c r="Z8" s="10"/>
      <c r="AA8" s="4"/>
      <c r="AB8" s="12">
        <f t="shared" si="6"/>
        <v>0.20004472805778983</v>
      </c>
    </row>
    <row r="9" spans="1:28" x14ac:dyDescent="0.25">
      <c r="A9" s="3" t="s">
        <v>3</v>
      </c>
      <c r="B9" s="7">
        <f>SUM(B2:B8)</f>
        <v>249932.60499999998</v>
      </c>
      <c r="C9" s="7"/>
      <c r="D9" s="7"/>
      <c r="E9" s="7"/>
      <c r="F9" s="7">
        <f>SUM(F2:F8)</f>
        <v>0</v>
      </c>
      <c r="G9" s="7"/>
      <c r="H9" s="3"/>
      <c r="I9" s="3"/>
      <c r="J9" s="3"/>
      <c r="K9" s="3"/>
      <c r="L9" s="3"/>
      <c r="M9" s="7">
        <f>SUM(M2:M8)</f>
        <v>33.540279999999996</v>
      </c>
      <c r="N9" s="7"/>
      <c r="O9" s="15"/>
      <c r="P9" s="7"/>
      <c r="Q9" s="7">
        <f>SUM(Q2:Q8)</f>
        <v>41145.309000000001</v>
      </c>
      <c r="R9" s="7"/>
      <c r="S9" s="15"/>
      <c r="T9" s="7"/>
      <c r="U9" s="7">
        <f>SUM(U2:U8)</f>
        <v>3428.7757499999998</v>
      </c>
      <c r="V9" s="7"/>
      <c r="W9" s="15"/>
      <c r="X9" s="7">
        <f>SUM(X2:X8)</f>
        <v>2914.4593874999996</v>
      </c>
      <c r="Y9" s="7"/>
      <c r="Z9" s="15"/>
      <c r="AA9" s="7"/>
      <c r="AB9" s="8">
        <f>SUM(AB2:AB8)</f>
        <v>1</v>
      </c>
    </row>
    <row r="11" spans="1:28" ht="30" x14ac:dyDescent="0.25">
      <c r="A11" s="6" t="s">
        <v>0</v>
      </c>
      <c r="B11" s="6" t="s">
        <v>13</v>
      </c>
      <c r="C11" s="6" t="s">
        <v>11</v>
      </c>
      <c r="D11" s="6" t="s">
        <v>12</v>
      </c>
      <c r="E11" s="6"/>
      <c r="F11" s="6" t="s">
        <v>15</v>
      </c>
      <c r="G11" s="6" t="s">
        <v>16</v>
      </c>
      <c r="H11" s="6" t="s">
        <v>23</v>
      </c>
      <c r="I11" s="6" t="s">
        <v>18</v>
      </c>
      <c r="J11" s="6" t="s">
        <v>11</v>
      </c>
      <c r="K11" s="6" t="s">
        <v>12</v>
      </c>
      <c r="L11" s="6"/>
      <c r="M11" s="6" t="s">
        <v>9</v>
      </c>
      <c r="N11" s="6" t="s">
        <v>11</v>
      </c>
      <c r="O11" s="6" t="s">
        <v>12</v>
      </c>
      <c r="P11" s="6"/>
      <c r="Q11" s="6" t="s">
        <v>24</v>
      </c>
      <c r="R11" s="6" t="s">
        <v>11</v>
      </c>
      <c r="S11" s="6" t="s">
        <v>12</v>
      </c>
      <c r="T11" s="6"/>
      <c r="U11" s="6" t="s">
        <v>20</v>
      </c>
      <c r="V11" s="6" t="s">
        <v>11</v>
      </c>
      <c r="W11" s="6" t="s">
        <v>12</v>
      </c>
      <c r="X11" s="6" t="s">
        <v>22</v>
      </c>
      <c r="Y11" s="6" t="s">
        <v>11</v>
      </c>
      <c r="Z11" s="6" t="s">
        <v>12</v>
      </c>
      <c r="AA11" s="6"/>
    </row>
    <row r="12" spans="1:28" x14ac:dyDescent="0.25">
      <c r="A12" t="s">
        <v>5</v>
      </c>
      <c r="B12" s="1">
        <f t="shared" ref="B12:B18" si="17">G12*I12</f>
        <v>33320</v>
      </c>
      <c r="C12" s="1"/>
      <c r="D12" s="1"/>
      <c r="E12" s="1"/>
      <c r="F12" s="1">
        <f t="shared" ref="F12:F18" si="18">I12*H12</f>
        <v>28321.999999999996</v>
      </c>
      <c r="G12" s="1">
        <v>27.2</v>
      </c>
      <c r="H12" s="1">
        <f t="shared" ref="H12:H17" si="19">G12*0.85</f>
        <v>23.119999999999997</v>
      </c>
      <c r="I12" s="4">
        <f>ROUND(((200000/6)/G12),0)</f>
        <v>1225</v>
      </c>
      <c r="J12" s="4"/>
      <c r="K12" s="4"/>
      <c r="L12" s="4"/>
      <c r="M12" s="2">
        <v>1.1280000000000001</v>
      </c>
      <c r="N12" s="2"/>
      <c r="O12" s="2"/>
      <c r="P12" s="2"/>
      <c r="Q12" s="5">
        <f t="shared" ref="Q12:Q18" si="20">M12*I12*(H12/G12)</f>
        <v>1174.5300000000002</v>
      </c>
      <c r="R12" s="5"/>
      <c r="S12" s="5"/>
      <c r="T12" s="5"/>
      <c r="U12" s="1">
        <f t="shared" ref="U12:U18" si="21">Q12/12</f>
        <v>97.877500000000012</v>
      </c>
      <c r="V12" s="1"/>
      <c r="W12" s="1"/>
      <c r="X12" s="4">
        <f t="shared" ref="X12:X18" si="22">U12*0.85</f>
        <v>83.195875000000001</v>
      </c>
      <c r="Y12" s="4"/>
      <c r="Z12" s="4"/>
      <c r="AA12" s="4"/>
      <c r="AB12" s="13">
        <f t="shared" ref="AB12:AB18" si="23">B12/$B$9</f>
        <v>0.13331593931091945</v>
      </c>
    </row>
    <row r="13" spans="1:28" x14ac:dyDescent="0.25">
      <c r="A13" t="s">
        <v>4</v>
      </c>
      <c r="B13" s="1">
        <f t="shared" si="17"/>
        <v>33327</v>
      </c>
      <c r="C13" s="1"/>
      <c r="D13" s="1"/>
      <c r="E13" s="1"/>
      <c r="F13" s="1">
        <f t="shared" si="18"/>
        <v>28327.949999999997</v>
      </c>
      <c r="G13" s="1">
        <v>21</v>
      </c>
      <c r="H13" s="1">
        <f t="shared" si="19"/>
        <v>17.849999999999998</v>
      </c>
      <c r="I13" s="4">
        <f t="shared" ref="I13:I17" si="24">ROUND(((200000/6)/G13),0)</f>
        <v>1587</v>
      </c>
      <c r="J13" s="4"/>
      <c r="K13" s="4"/>
      <c r="L13" s="4"/>
      <c r="M13" s="2">
        <v>1.236</v>
      </c>
      <c r="N13" s="2"/>
      <c r="O13" s="2"/>
      <c r="P13" s="2"/>
      <c r="Q13" s="5">
        <f t="shared" si="20"/>
        <v>1667.3021999999996</v>
      </c>
      <c r="R13" s="5"/>
      <c r="S13" s="5"/>
      <c r="T13" s="5"/>
      <c r="U13" s="1">
        <f t="shared" si="21"/>
        <v>138.94184999999996</v>
      </c>
      <c r="V13" s="1"/>
      <c r="W13" s="1"/>
      <c r="X13" s="4">
        <f t="shared" si="22"/>
        <v>118.10057249999996</v>
      </c>
      <c r="Y13" s="4"/>
      <c r="Z13" s="4"/>
      <c r="AA13" s="4"/>
      <c r="AB13" s="13">
        <f t="shared" si="23"/>
        <v>0.13334394686119486</v>
      </c>
    </row>
    <row r="14" spans="1:28" x14ac:dyDescent="0.25">
      <c r="A14" t="s">
        <v>2</v>
      </c>
      <c r="B14" s="1">
        <f t="shared" si="17"/>
        <v>33331.68</v>
      </c>
      <c r="C14" s="1"/>
      <c r="D14" s="1"/>
      <c r="E14" s="1"/>
      <c r="F14" s="1">
        <f t="shared" si="18"/>
        <v>28331.928</v>
      </c>
      <c r="G14" s="1">
        <v>28.44</v>
      </c>
      <c r="H14" s="1">
        <f t="shared" si="19"/>
        <v>24.173999999999999</v>
      </c>
      <c r="I14" s="4">
        <f t="shared" si="24"/>
        <v>1172</v>
      </c>
      <c r="J14" s="4"/>
      <c r="K14" s="4"/>
      <c r="L14" s="4"/>
      <c r="M14" s="2">
        <v>2.016</v>
      </c>
      <c r="N14" s="2"/>
      <c r="O14" s="2"/>
      <c r="P14" s="2"/>
      <c r="Q14" s="5">
        <f t="shared" si="20"/>
        <v>2008.3391999999999</v>
      </c>
      <c r="R14" s="5"/>
      <c r="S14" s="5"/>
      <c r="T14" s="5"/>
      <c r="U14" s="1">
        <f t="shared" si="21"/>
        <v>167.36159999999998</v>
      </c>
      <c r="V14" s="1"/>
      <c r="W14" s="1"/>
      <c r="X14" s="4">
        <f t="shared" si="22"/>
        <v>142.25735999999998</v>
      </c>
      <c r="Y14" s="4"/>
      <c r="Z14" s="4"/>
      <c r="AA14" s="4"/>
      <c r="AB14" s="13">
        <f t="shared" si="23"/>
        <v>0.13336267190909326</v>
      </c>
    </row>
    <row r="15" spans="1:28" x14ac:dyDescent="0.25">
      <c r="A15" t="s">
        <v>1</v>
      </c>
      <c r="B15" s="1">
        <f t="shared" si="17"/>
        <v>33324.125</v>
      </c>
      <c r="C15" s="1"/>
      <c r="D15" s="1"/>
      <c r="E15" s="1"/>
      <c r="F15" s="1">
        <f t="shared" si="18"/>
        <v>28325.506249999999</v>
      </c>
      <c r="G15" s="1">
        <v>19.895</v>
      </c>
      <c r="H15" s="1">
        <f t="shared" si="19"/>
        <v>16.91075</v>
      </c>
      <c r="I15" s="4">
        <f t="shared" si="24"/>
        <v>1675</v>
      </c>
      <c r="J15" s="4"/>
      <c r="K15" s="4"/>
      <c r="L15" s="4"/>
      <c r="M15" s="2">
        <v>1.46028</v>
      </c>
      <c r="N15" s="2"/>
      <c r="O15" s="2"/>
      <c r="P15" s="2"/>
      <c r="Q15" s="5">
        <f t="shared" si="20"/>
        <v>2079.0736499999998</v>
      </c>
      <c r="R15" s="5"/>
      <c r="S15" s="5"/>
      <c r="T15" s="5"/>
      <c r="U15" s="1">
        <f t="shared" si="21"/>
        <v>173.25613749999999</v>
      </c>
      <c r="V15" s="1"/>
      <c r="W15" s="1"/>
      <c r="X15" s="4">
        <f t="shared" si="22"/>
        <v>147.26771687499999</v>
      </c>
      <c r="Y15" s="4"/>
      <c r="Z15" s="4"/>
      <c r="AA15" s="4"/>
      <c r="AB15" s="13">
        <f t="shared" si="23"/>
        <v>0.13333244376018888</v>
      </c>
    </row>
    <row r="16" spans="1:28" x14ac:dyDescent="0.25">
      <c r="A16" t="s">
        <v>6</v>
      </c>
      <c r="B16" s="1">
        <f t="shared" si="17"/>
        <v>33332.1</v>
      </c>
      <c r="C16" s="1"/>
      <c r="D16" s="1"/>
      <c r="E16" s="1"/>
      <c r="F16" s="1">
        <f t="shared" si="18"/>
        <v>28332.284999999996</v>
      </c>
      <c r="G16" s="1">
        <v>24.33</v>
      </c>
      <c r="H16" s="1">
        <f t="shared" si="19"/>
        <v>20.680499999999999</v>
      </c>
      <c r="I16" s="4">
        <f t="shared" si="24"/>
        <v>1370</v>
      </c>
      <c r="J16" s="4"/>
      <c r="K16" s="4"/>
      <c r="L16" s="4"/>
      <c r="M16" s="2">
        <v>2.52</v>
      </c>
      <c r="N16" s="2"/>
      <c r="O16" s="2"/>
      <c r="P16" s="2"/>
      <c r="Q16" s="5">
        <f t="shared" si="20"/>
        <v>2934.54</v>
      </c>
      <c r="R16" s="5"/>
      <c r="S16" s="5"/>
      <c r="T16" s="5"/>
      <c r="U16" s="5">
        <f t="shared" si="21"/>
        <v>244.54499999999999</v>
      </c>
      <c r="V16" s="5"/>
      <c r="W16" s="5"/>
      <c r="X16" s="4">
        <f t="shared" si="22"/>
        <v>207.86324999999999</v>
      </c>
      <c r="Y16" s="4"/>
      <c r="Z16" s="4"/>
      <c r="AA16" s="4"/>
      <c r="AB16" s="13">
        <f t="shared" si="23"/>
        <v>0.13336435236210978</v>
      </c>
    </row>
    <row r="17" spans="1:28" x14ac:dyDescent="0.25">
      <c r="A17" t="s">
        <v>7</v>
      </c>
      <c r="B17" s="5">
        <f t="shared" si="17"/>
        <v>33300</v>
      </c>
      <c r="C17" s="5"/>
      <c r="D17" s="5"/>
      <c r="E17" s="5"/>
      <c r="F17" s="5">
        <f t="shared" si="18"/>
        <v>28305</v>
      </c>
      <c r="G17" s="1">
        <v>90</v>
      </c>
      <c r="H17" s="1">
        <f t="shared" si="19"/>
        <v>76.5</v>
      </c>
      <c r="I17" s="4">
        <f t="shared" si="24"/>
        <v>370</v>
      </c>
      <c r="J17" s="4"/>
      <c r="K17" s="4"/>
      <c r="L17" s="4"/>
      <c r="M17" s="2">
        <v>3.7559999999999998</v>
      </c>
      <c r="N17" s="2"/>
      <c r="O17" s="2"/>
      <c r="P17" s="2"/>
      <c r="Q17" s="5">
        <f t="shared" si="20"/>
        <v>1181.2619999999999</v>
      </c>
      <c r="R17" s="5"/>
      <c r="S17" s="5"/>
      <c r="T17" s="5"/>
      <c r="U17" s="5">
        <f t="shared" si="21"/>
        <v>98.438499999999991</v>
      </c>
      <c r="V17" s="5"/>
      <c r="W17" s="5"/>
      <c r="X17" s="4">
        <f t="shared" si="22"/>
        <v>83.672724999999986</v>
      </c>
      <c r="Y17" s="4"/>
      <c r="Z17" s="4"/>
      <c r="AA17" s="4"/>
      <c r="AB17" s="13">
        <f t="shared" si="23"/>
        <v>0.133235917738704</v>
      </c>
    </row>
    <row r="18" spans="1:28" x14ac:dyDescent="0.25">
      <c r="A18" s="14" t="s">
        <v>8</v>
      </c>
      <c r="B18" s="9">
        <f t="shared" si="17"/>
        <v>49997.7</v>
      </c>
      <c r="C18" s="9"/>
      <c r="D18" s="9"/>
      <c r="E18" s="9"/>
      <c r="F18" s="9">
        <f t="shared" si="18"/>
        <v>24998.85</v>
      </c>
      <c r="G18" s="9">
        <v>38.049999999999997</v>
      </c>
      <c r="H18" s="9">
        <f>G18*0.5</f>
        <v>19.024999999999999</v>
      </c>
      <c r="I18" s="10">
        <f>ROUND(((50000)/G18),0)</f>
        <v>1314</v>
      </c>
      <c r="J18" s="10"/>
      <c r="K18" s="10"/>
      <c r="L18" s="10"/>
      <c r="M18" s="11">
        <v>21.423999999999999</v>
      </c>
      <c r="N18" s="11"/>
      <c r="O18" s="11"/>
      <c r="P18" s="11"/>
      <c r="Q18" s="9">
        <f t="shared" si="20"/>
        <v>14075.567999999999</v>
      </c>
      <c r="R18" s="9"/>
      <c r="S18" s="9"/>
      <c r="T18" s="9"/>
      <c r="U18" s="9">
        <f t="shared" si="21"/>
        <v>1172.9639999999999</v>
      </c>
      <c r="V18" s="9"/>
      <c r="W18" s="9"/>
      <c r="X18" s="10">
        <f t="shared" si="22"/>
        <v>997.01939999999991</v>
      </c>
      <c r="Y18" s="10"/>
      <c r="Z18" s="10"/>
      <c r="AA18" s="4"/>
      <c r="AB18" s="12">
        <f t="shared" si="23"/>
        <v>0.20004472805778983</v>
      </c>
    </row>
    <row r="19" spans="1:28" x14ac:dyDescent="0.25">
      <c r="A19" s="3" t="s">
        <v>3</v>
      </c>
      <c r="B19" s="7">
        <f>SUM(B12:B18)</f>
        <v>249932.60499999998</v>
      </c>
      <c r="C19" s="7"/>
      <c r="D19" s="7"/>
      <c r="E19" s="7"/>
      <c r="F19" s="7">
        <f>SUM(F12:F18)</f>
        <v>194943.51925000001</v>
      </c>
      <c r="G19" s="7"/>
      <c r="H19" s="3"/>
      <c r="I19" s="3"/>
      <c r="J19" s="3"/>
      <c r="K19" s="3"/>
      <c r="L19" s="3"/>
      <c r="M19" s="7">
        <f>SUM(M12:M18)</f>
        <v>33.540279999999996</v>
      </c>
      <c r="N19" s="7"/>
      <c r="O19" s="15"/>
      <c r="P19" s="7"/>
      <c r="Q19" s="7">
        <f>SUM(Q12:Q18)</f>
        <v>25120.61505</v>
      </c>
      <c r="R19" s="7"/>
      <c r="S19" s="15"/>
      <c r="T19" s="7"/>
      <c r="U19" s="7">
        <f>SUM(U12:U18)</f>
        <v>2093.3845874999997</v>
      </c>
      <c r="V19" s="7"/>
      <c r="W19" s="15"/>
      <c r="X19" s="7">
        <f>SUM(X12:X18)</f>
        <v>1779.376899375</v>
      </c>
      <c r="Y19" s="7"/>
      <c r="Z19" s="15"/>
      <c r="AA19" s="7"/>
      <c r="AB19" s="8">
        <f>SUM(AB12:AB18)</f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Ahmad, Mansoor</dc:creator>
  <cp:lastModifiedBy>Mansoor A</cp:lastModifiedBy>
  <dcterms:created xsi:type="dcterms:W3CDTF">2024-02-04T14:11:52Z</dcterms:created>
  <dcterms:modified xsi:type="dcterms:W3CDTF">2026-09-21T23:02:35Z</dcterms:modified>
</cp:coreProperties>
</file>