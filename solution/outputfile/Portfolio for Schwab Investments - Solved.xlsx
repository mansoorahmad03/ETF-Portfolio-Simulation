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1425" windowWidth="29040" windowHeight="15720" tabRatio="600" firstSheet="0" activeTab="0" autoFilterDateGrouping="1"/>
  </bookViews>
  <sheets>
    <sheet xmlns:r="http://schemas.openxmlformats.org/officeDocument/2006/relationships" name="Portfolio Pla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16">
    <xf numFmtId="0" fontId="0" fillId="0" borderId="0" pivotButton="0" quotePrefix="0" xfId="0"/>
    <xf numFmtId="43" fontId="0" fillId="0" borderId="0" pivotButton="0" quotePrefix="0" xfId="1"/>
    <xf numFmtId="164" fontId="0" fillId="0" borderId="0" pivotButton="0" quotePrefix="0" xfId="0"/>
    <xf numFmtId="0" fontId="2" fillId="0" borderId="0" pivotButton="0" quotePrefix="0" xfId="0"/>
    <xf numFmtId="43" fontId="0" fillId="0" borderId="0" pivotButton="0" quotePrefix="0" xfId="0"/>
    <xf numFmtId="43" fontId="0" fillId="0" borderId="0" pivotButton="0" quotePrefix="0" xfId="1"/>
    <xf numFmtId="0" fontId="2" fillId="0" borderId="0" applyAlignment="1" pivotButton="0" quotePrefix="0" xfId="0">
      <alignment wrapText="1"/>
    </xf>
    <xf numFmtId="43" fontId="2" fillId="0" borderId="0" pivotButton="0" quotePrefix="0" xfId="0"/>
    <xf numFmtId="10" fontId="0" fillId="0" borderId="0" pivotButton="0" quotePrefix="0" xfId="0"/>
    <xf numFmtId="43" fontId="0" fillId="0" borderId="1" pivotButton="0" quotePrefix="0" xfId="1"/>
    <xf numFmtId="43" fontId="0" fillId="0" borderId="1" pivotButton="0" quotePrefix="0" xfId="0"/>
    <xf numFmtId="164" fontId="0" fillId="0" borderId="1" pivotButton="0" quotePrefix="0" xfId="0"/>
    <xf numFmtId="9" fontId="0" fillId="0" borderId="1" pivotButton="0" quotePrefix="0" xfId="2"/>
    <xf numFmtId="9" fontId="0" fillId="0" borderId="0" pivotButton="0" quotePrefix="0" xfId="2"/>
    <xf numFmtId="0" fontId="0" fillId="0" borderId="1" pivotButton="0" quotePrefix="0" xfId="0"/>
    <xf numFmtId="43" fontId="2" fillId="0" borderId="2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tabSelected="1" workbookViewId="0">
      <pane xSplit="8" ySplit="1" topLeftCell="I2" activePane="bottomRight" state="frozen"/>
      <selection pane="topRight" activeCell="G1" sqref="G1"/>
      <selection pane="bottomLeft" activeCell="A3" sqref="A3"/>
      <selection pane="bottomRight" activeCell="M12" sqref="M12"/>
    </sheetView>
  </sheetViews>
  <sheetFormatPr baseColWidth="8" defaultRowHeight="15"/>
  <cols>
    <col width="16.7109375" bestFit="1" customWidth="1" min="1" max="1"/>
    <col width="11.5703125" bestFit="1" customWidth="1" min="2" max="2"/>
    <col width="11.5703125" customWidth="1" min="3" max="5"/>
    <col width="23.42578125" bestFit="1" customWidth="1" min="6" max="6"/>
    <col width="19.140625" bestFit="1" customWidth="1" min="7" max="7"/>
    <col width="22.28515625" bestFit="1" customWidth="1" min="8" max="8"/>
    <col width="9.5703125" bestFit="1" customWidth="1" min="9" max="9"/>
    <col width="9.5703125" customWidth="1" min="10" max="12"/>
    <col width="16.85546875" bestFit="1" customWidth="1" min="13" max="13"/>
    <col width="16.85546875" customWidth="1" min="14" max="16"/>
    <col width="28.140625" customWidth="1" min="17" max="20"/>
    <col width="26" bestFit="1" customWidth="1" min="21" max="21"/>
    <col width="26" customWidth="1" min="22" max="23"/>
    <col width="24.28515625" bestFit="1" customWidth="1" min="24" max="24"/>
    <col width="24.28515625" customWidth="1" min="25" max="27"/>
    <col width="11.140625" bestFit="1" customWidth="1" min="28" max="28"/>
  </cols>
  <sheetData>
    <row r="1" ht="45" customHeight="1">
      <c r="A1" s="6" t="inlineStr">
        <is>
          <t>Investment</t>
        </is>
      </c>
      <c r="B1" s="6" t="inlineStr">
        <is>
          <t>Cost Basis Total</t>
        </is>
      </c>
      <c r="C1" s="6" t="inlineStr">
        <is>
          <t>Model Figure</t>
        </is>
      </c>
      <c r="D1" s="6" t="inlineStr">
        <is>
          <t>DIFF</t>
        </is>
      </c>
      <c r="E1" s="6" t="n"/>
      <c r="F1" s="6" t="inlineStr">
        <is>
          <t>Market Value Total (SAME)</t>
        </is>
      </c>
      <c r="G1" s="6" t="inlineStr">
        <is>
          <t>Cost per Share (12/31)</t>
        </is>
      </c>
      <c r="H1" s="6" t="inlineStr">
        <is>
          <t>Cost per Share (SAME)</t>
        </is>
      </c>
      <c r="I1" s="6" t="inlineStr">
        <is>
          <t>Total Share Qty</t>
        </is>
      </c>
      <c r="J1" s="6" t="inlineStr">
        <is>
          <t>Model Figure</t>
        </is>
      </c>
      <c r="K1" s="6" t="inlineStr">
        <is>
          <t>DIFF</t>
        </is>
      </c>
      <c r="L1" s="6" t="n"/>
      <c r="M1" s="6" t="inlineStr">
        <is>
          <t>Total ETF Dividend/Share per Year</t>
        </is>
      </c>
      <c r="N1" s="6" t="inlineStr">
        <is>
          <t>Model Figure</t>
        </is>
      </c>
      <c r="O1" s="6" t="inlineStr">
        <is>
          <t>DIFF</t>
        </is>
      </c>
      <c r="P1" s="6" t="n"/>
      <c r="Q1" s="6" t="inlineStr">
        <is>
          <t>Total ETF Dividend per Year (Gross)</t>
        </is>
      </c>
      <c r="R1" s="6" t="inlineStr">
        <is>
          <t>Model Figure</t>
        </is>
      </c>
      <c r="S1" s="6" t="inlineStr">
        <is>
          <t>DIFF</t>
        </is>
      </c>
      <c r="T1" s="6" t="n"/>
      <c r="U1" s="6" t="inlineStr">
        <is>
          <t>Total ETF Dividend per Month (Gross)</t>
        </is>
      </c>
      <c r="V1" s="6" t="inlineStr">
        <is>
          <t>Model Figure</t>
        </is>
      </c>
      <c r="W1" s="6" t="inlineStr">
        <is>
          <t>DIFF</t>
        </is>
      </c>
      <c r="X1" s="6" t="inlineStr">
        <is>
          <t>Total ETF Dividend per Month (Net/15% Tax)</t>
        </is>
      </c>
      <c r="Y1" s="6" t="inlineStr">
        <is>
          <t>Model Figure</t>
        </is>
      </c>
      <c r="Z1" s="6" t="inlineStr">
        <is>
          <t>DIFF</t>
        </is>
      </c>
      <c r="AA1" s="6" t="n"/>
      <c r="AB1" s="3" t="inlineStr">
        <is>
          <t>% Invested</t>
        </is>
      </c>
    </row>
    <row r="2">
      <c r="A2" t="inlineStr">
        <is>
          <t>BAB</t>
        </is>
      </c>
      <c r="B2" s="5">
        <f>G2*I2</f>
        <v/>
      </c>
      <c r="C2" s="5">
        <f>G2*I2</f>
        <v/>
      </c>
      <c r="D2" s="5" t="n"/>
      <c r="E2" s="5" t="n"/>
      <c r="F2" s="5">
        <f>I2*H2</f>
        <v/>
      </c>
      <c r="G2" s="5" t="n">
        <v>27.2</v>
      </c>
      <c r="H2" s="5" t="n"/>
      <c r="I2" s="4">
        <f>ROUND(((200000/6)/G2),0)</f>
        <v/>
      </c>
      <c r="J2" s="4">
        <f>ROUND(((200000/6)/G2),0)</f>
        <v/>
      </c>
      <c r="K2" s="4" t="n"/>
      <c r="L2" s="4" t="n"/>
      <c r="M2" s="2" t="n">
        <v>1.128</v>
      </c>
      <c r="N2" s="2">
        <f>M2</f>
        <v/>
      </c>
      <c r="O2" s="2" t="n"/>
      <c r="P2" s="2" t="n"/>
      <c r="Q2" s="5">
        <f>M2*I2</f>
        <v/>
      </c>
      <c r="R2" s="5">
        <f>N2*J2</f>
        <v/>
      </c>
      <c r="S2" s="5" t="n"/>
      <c r="T2" s="5" t="n"/>
      <c r="U2" s="5">
        <f>Q2/12</f>
        <v/>
      </c>
      <c r="V2" s="5">
        <f>R2/12</f>
        <v/>
      </c>
      <c r="W2" s="5" t="n"/>
      <c r="X2" s="4">
        <f>U2*0.85</f>
        <v/>
      </c>
      <c r="Y2" s="4">
        <f>V2-(V2*0.15)</f>
        <v/>
      </c>
      <c r="Z2" s="4" t="n"/>
      <c r="AA2" s="4" t="n"/>
      <c r="AB2" s="13">
        <f>B2/$B$9</f>
        <v/>
      </c>
    </row>
    <row r="3">
      <c r="A3" t="inlineStr">
        <is>
          <t>BKLN</t>
        </is>
      </c>
      <c r="B3" s="5">
        <f>G3*I3</f>
        <v/>
      </c>
      <c r="C3" s="5">
        <f>G3*I3</f>
        <v/>
      </c>
      <c r="D3" s="5" t="n"/>
      <c r="E3" s="5" t="n"/>
      <c r="F3" s="5">
        <f>I3*H3</f>
        <v/>
      </c>
      <c r="G3" s="5" t="n">
        <v>21</v>
      </c>
      <c r="H3" s="5" t="n"/>
      <c r="I3" s="4">
        <f>ROUND(((200000/6)/G3),0)</f>
        <v/>
      </c>
      <c r="J3" s="4">
        <f>ROUND(((200000/6)/G3),0)</f>
        <v/>
      </c>
      <c r="K3" s="4" t="n"/>
      <c r="L3" s="4" t="n"/>
      <c r="M3" s="2" t="n">
        <v>1.236</v>
      </c>
      <c r="N3" s="2">
        <f>M3</f>
        <v/>
      </c>
      <c r="O3" s="2" t="n"/>
      <c r="P3" s="2" t="n"/>
      <c r="Q3" s="5">
        <f>M3*I3</f>
        <v/>
      </c>
      <c r="R3" s="5">
        <f>N3*J3</f>
        <v/>
      </c>
      <c r="S3" s="5" t="n"/>
      <c r="T3" s="5" t="n"/>
      <c r="U3" s="5">
        <f>Q3/12</f>
        <v/>
      </c>
      <c r="V3" s="5">
        <f>R3/12</f>
        <v/>
      </c>
      <c r="W3" s="5" t="n"/>
      <c r="X3" s="4">
        <f>U3*0.85</f>
        <v/>
      </c>
      <c r="Y3" s="4">
        <f>V3-(V3*0.15)</f>
        <v/>
      </c>
      <c r="Z3" s="4" t="n"/>
      <c r="AA3" s="4" t="n"/>
      <c r="AB3" s="13">
        <f>B3/$B$9</f>
        <v/>
      </c>
    </row>
    <row r="4">
      <c r="A4" t="inlineStr">
        <is>
          <t>HYBL</t>
        </is>
      </c>
      <c r="B4" s="5">
        <f>G4*I4</f>
        <v/>
      </c>
      <c r="C4" s="5">
        <f>G4*I4</f>
        <v/>
      </c>
      <c r="D4" s="5" t="n"/>
      <c r="E4" s="5" t="n"/>
      <c r="F4" s="5">
        <f>I4*H4</f>
        <v/>
      </c>
      <c r="G4" s="5" t="n">
        <v>28.44</v>
      </c>
      <c r="H4" s="5" t="n"/>
      <c r="I4" s="4">
        <f>ROUND(((200000/6)/G4),0)</f>
        <v/>
      </c>
      <c r="J4" s="4">
        <f>ROUND(((200000/6)/G4),0)</f>
        <v/>
      </c>
      <c r="K4" s="4" t="n"/>
      <c r="L4" s="4" t="n"/>
      <c r="M4" s="2" t="n">
        <v>2.016</v>
      </c>
      <c r="N4" s="2">
        <f>M4</f>
        <v/>
      </c>
      <c r="O4" s="2" t="n"/>
      <c r="P4" s="2" t="n"/>
      <c r="Q4" s="5">
        <f>M4*I4</f>
        <v/>
      </c>
      <c r="R4" s="5">
        <f>N4*J4</f>
        <v/>
      </c>
      <c r="S4" s="5" t="n"/>
      <c r="T4" s="5" t="n"/>
      <c r="U4" s="5">
        <f>Q4/12</f>
        <v/>
      </c>
      <c r="V4" s="5">
        <f>R4/12</f>
        <v/>
      </c>
      <c r="W4" s="5" t="n"/>
      <c r="X4" s="4">
        <f>U4*0.85</f>
        <v/>
      </c>
      <c r="Y4" s="4">
        <f>V4-(V4*0.15)</f>
        <v/>
      </c>
      <c r="Z4" s="4" t="n"/>
      <c r="AA4" s="4" t="n"/>
      <c r="AB4" s="13">
        <f>B4/$B$9</f>
        <v/>
      </c>
    </row>
    <row r="5">
      <c r="A5" t="inlineStr">
        <is>
          <t>PGHY</t>
        </is>
      </c>
      <c r="B5" s="5">
        <f>G5*I5</f>
        <v/>
      </c>
      <c r="C5" s="5">
        <f>G5*I5</f>
        <v/>
      </c>
      <c r="D5" s="5" t="n"/>
      <c r="E5" s="5" t="n"/>
      <c r="F5" s="5">
        <f>I5*H5</f>
        <v/>
      </c>
      <c r="G5" s="5" t="n">
        <v>19.895</v>
      </c>
      <c r="H5" s="5" t="n"/>
      <c r="I5" s="4">
        <f>ROUND(((200000/6)/G5),0)</f>
        <v/>
      </c>
      <c r="J5" s="4">
        <f>ROUND(((200000/6)/G5),0)</f>
        <v/>
      </c>
      <c r="K5" s="4" t="n"/>
      <c r="L5" s="4" t="n"/>
      <c r="M5" s="2" t="n">
        <v>1.46028</v>
      </c>
      <c r="N5" s="2">
        <f>M5</f>
        <v/>
      </c>
      <c r="O5" s="2" t="n"/>
      <c r="P5" s="2" t="n"/>
      <c r="Q5" s="5">
        <f>M5*I5</f>
        <v/>
      </c>
      <c r="R5" s="5">
        <f>N5*J5</f>
        <v/>
      </c>
      <c r="S5" s="5" t="n"/>
      <c r="T5" s="5" t="n"/>
      <c r="U5" s="5">
        <f>Q5/12</f>
        <v/>
      </c>
      <c r="V5" s="5">
        <f>R5/12</f>
        <v/>
      </c>
      <c r="W5" s="5" t="n"/>
      <c r="X5" s="4">
        <f>U5*0.85</f>
        <v/>
      </c>
      <c r="Y5" s="4">
        <f>V5-(V5*0.15)</f>
        <v/>
      </c>
      <c r="Z5" s="4" t="n"/>
      <c r="AA5" s="4" t="n"/>
      <c r="AB5" s="13">
        <f>B5/$B$9</f>
        <v/>
      </c>
    </row>
    <row r="6">
      <c r="A6" t="inlineStr">
        <is>
          <t>VRP</t>
        </is>
      </c>
      <c r="B6" s="5">
        <f>G6*I6</f>
        <v/>
      </c>
      <c r="C6" s="5">
        <f>G6*I6</f>
        <v/>
      </c>
      <c r="D6" s="5" t="n"/>
      <c r="E6" s="5" t="n"/>
      <c r="F6" s="5">
        <f>I6*H6</f>
        <v/>
      </c>
      <c r="G6" s="5" t="n">
        <v>24.33</v>
      </c>
      <c r="H6" s="5" t="n"/>
      <c r="I6" s="4">
        <f>ROUND(((200000/6)/G6),0)</f>
        <v/>
      </c>
      <c r="J6" s="4">
        <f>ROUND(((200000/6)/G6),0)</f>
        <v/>
      </c>
      <c r="K6" s="4" t="n"/>
      <c r="L6" s="4" t="n"/>
      <c r="M6" s="2" t="n">
        <v>2.52</v>
      </c>
      <c r="N6" s="2">
        <f>M6</f>
        <v/>
      </c>
      <c r="O6" s="2" t="n"/>
      <c r="P6" s="2" t="n"/>
      <c r="Q6" s="5">
        <f>M6*I6</f>
        <v/>
      </c>
      <c r="R6" s="5">
        <f>N6*J6</f>
        <v/>
      </c>
      <c r="S6" s="5" t="n"/>
      <c r="T6" s="5" t="n"/>
      <c r="U6" s="5">
        <f>Q6/12</f>
        <v/>
      </c>
      <c r="V6" s="5">
        <f>R6/12</f>
        <v/>
      </c>
      <c r="W6" s="5" t="n"/>
      <c r="X6" s="4">
        <f>U6*0.85</f>
        <v/>
      </c>
      <c r="Y6" s="4">
        <f>V6-(V6*0.15)</f>
        <v/>
      </c>
      <c r="Z6" s="4" t="n"/>
      <c r="AA6" s="4" t="n"/>
      <c r="AB6" s="13">
        <f>B6/$B$9</f>
        <v/>
      </c>
    </row>
    <row r="7">
      <c r="A7" t="inlineStr">
        <is>
          <t>VYMI</t>
        </is>
      </c>
      <c r="B7" s="5">
        <f>G7*I7</f>
        <v/>
      </c>
      <c r="C7" s="5">
        <f>G7*I7</f>
        <v/>
      </c>
      <c r="D7" s="5" t="n"/>
      <c r="E7" s="5" t="n"/>
      <c r="F7" s="5">
        <f>I7*H7</f>
        <v/>
      </c>
      <c r="G7" s="5" t="n">
        <v>90</v>
      </c>
      <c r="H7" s="5" t="n"/>
      <c r="I7" s="4">
        <f>ROUND(((200000/6)/G7),0)</f>
        <v/>
      </c>
      <c r="J7" s="4">
        <f>ROUND(((200000/6)/G7),0)</f>
        <v/>
      </c>
      <c r="K7" s="4" t="n"/>
      <c r="L7" s="4" t="n"/>
      <c r="M7" s="2" t="n">
        <v>3.756</v>
      </c>
      <c r="N7" s="2">
        <f>M7</f>
        <v/>
      </c>
      <c r="O7" s="2" t="n"/>
      <c r="P7" s="2" t="n"/>
      <c r="Q7" s="5">
        <f>M7*I7</f>
        <v/>
      </c>
      <c r="R7" s="5">
        <f>N7*J7</f>
        <v/>
      </c>
      <c r="S7" s="5" t="n"/>
      <c r="T7" s="5" t="n"/>
      <c r="U7" s="5">
        <f>Q7/12</f>
        <v/>
      </c>
      <c r="V7" s="5">
        <f>R7/12</f>
        <v/>
      </c>
      <c r="W7" s="5" t="n"/>
      <c r="X7" s="4">
        <f>U7*0.85</f>
        <v/>
      </c>
      <c r="Y7" s="4">
        <f>V7-(V7*0.15)</f>
        <v/>
      </c>
      <c r="Z7" s="4" t="n"/>
      <c r="AA7" s="4" t="n"/>
      <c r="AB7" s="13">
        <f>B7/$B$9</f>
        <v/>
      </c>
    </row>
    <row r="8">
      <c r="A8" s="14" t="inlineStr">
        <is>
          <t>AMDY</t>
        </is>
      </c>
      <c r="B8" s="9">
        <f>G8*I8</f>
        <v/>
      </c>
      <c r="C8" s="9">
        <f>G8*I8</f>
        <v/>
      </c>
      <c r="D8" s="9" t="n"/>
      <c r="E8" s="9" t="n"/>
      <c r="F8" s="9">
        <f>I8*H8</f>
        <v/>
      </c>
      <c r="G8" s="9" t="n">
        <v>38.05</v>
      </c>
      <c r="H8" s="9" t="n"/>
      <c r="I8" s="10">
        <f>ROUND(((50000)/G8),0)</f>
        <v/>
      </c>
      <c r="J8" s="10">
        <f>ROUND((50000/G8),0)</f>
        <v/>
      </c>
      <c r="K8" s="10" t="n"/>
      <c r="L8" s="10" t="n"/>
      <c r="M8" s="11" t="n">
        <v>21.424</v>
      </c>
      <c r="N8" s="11">
        <f>M8</f>
        <v/>
      </c>
      <c r="O8" s="11" t="n"/>
      <c r="P8" s="11" t="n"/>
      <c r="Q8" s="9">
        <f>M8*I8</f>
        <v/>
      </c>
      <c r="R8" s="9">
        <f>N8*J8</f>
        <v/>
      </c>
      <c r="S8" s="9" t="n"/>
      <c r="T8" s="9" t="n"/>
      <c r="U8" s="9">
        <f>Q8/12</f>
        <v/>
      </c>
      <c r="V8" s="9">
        <f>R8/12</f>
        <v/>
      </c>
      <c r="W8" s="9" t="n"/>
      <c r="X8" s="10">
        <f>U8*0.85</f>
        <v/>
      </c>
      <c r="Y8" s="10">
        <f>V8-(V8*0.15)</f>
        <v/>
      </c>
      <c r="Z8" s="10" t="n"/>
      <c r="AA8" s="4" t="n"/>
      <c r="AB8" s="12">
        <f>B8/$B$9</f>
        <v/>
      </c>
    </row>
    <row r="9">
      <c r="A9" s="3" t="inlineStr">
        <is>
          <t>Total</t>
        </is>
      </c>
      <c r="B9" s="7">
        <f>SUM(B2:B8)</f>
        <v/>
      </c>
      <c r="C9" s="7" t="n"/>
      <c r="D9" s="7" t="n"/>
      <c r="E9" s="7" t="n"/>
      <c r="F9" s="7">
        <f>SUM(F2:F8)</f>
        <v/>
      </c>
      <c r="G9" s="7" t="n"/>
      <c r="H9" s="3" t="n"/>
      <c r="I9" s="3" t="n"/>
      <c r="J9" s="3" t="n"/>
      <c r="K9" s="3" t="n"/>
      <c r="L9" s="3" t="n"/>
      <c r="M9" s="7">
        <f>SUM(M2:M8)</f>
        <v/>
      </c>
      <c r="N9" s="7" t="n"/>
      <c r="O9" s="15" t="n"/>
      <c r="P9" s="7" t="n"/>
      <c r="Q9" s="7">
        <f>SUM(Q2:Q8)</f>
        <v/>
      </c>
      <c r="R9" s="7">
        <f>SUM(R2:R8)</f>
        <v/>
      </c>
      <c r="S9" s="15" t="n"/>
      <c r="T9" s="7" t="n"/>
      <c r="U9" s="7">
        <f>SUM(U2:U8)</f>
        <v/>
      </c>
      <c r="V9" s="7" t="n"/>
      <c r="W9" s="15" t="n"/>
      <c r="X9" s="7">
        <f>SUM(X2:X8)</f>
        <v/>
      </c>
      <c r="Y9" s="7">
        <f>SUM(Y2:Y8)</f>
        <v/>
      </c>
      <c r="Z9" s="15" t="n"/>
      <c r="AA9" s="7" t="n"/>
      <c r="AB9" s="8">
        <f>SUM(AB2:AB8)</f>
        <v/>
      </c>
    </row>
    <row r="11" ht="30" customHeight="1">
      <c r="A11" s="6" t="inlineStr">
        <is>
          <t>Investment</t>
        </is>
      </c>
      <c r="B11" s="6" t="inlineStr">
        <is>
          <t>Cost Basis Total</t>
        </is>
      </c>
      <c r="C11" s="6" t="inlineStr">
        <is>
          <t>Model Figure</t>
        </is>
      </c>
      <c r="D11" s="6" t="inlineStr">
        <is>
          <t>DIFF</t>
        </is>
      </c>
      <c r="E11" s="6" t="n"/>
      <c r="F11" s="6" t="inlineStr">
        <is>
          <t>Market Value 09/17/2026</t>
        </is>
      </c>
      <c r="G11" s="6" t="inlineStr">
        <is>
          <t>Cost per Share (12/31)</t>
        </is>
      </c>
      <c r="H11" s="6" t="inlineStr">
        <is>
          <t>New Market Value per Share (09/17/2026)</t>
        </is>
      </c>
      <c r="I11" s="6" t="inlineStr">
        <is>
          <t>Total Share Qty</t>
        </is>
      </c>
      <c r="J11" s="6" t="inlineStr">
        <is>
          <t>Model Figure</t>
        </is>
      </c>
      <c r="K11" s="6" t="inlineStr">
        <is>
          <t>DIFF</t>
        </is>
      </c>
      <c r="L11" s="6" t="n"/>
      <c r="M11" s="6" t="inlineStr">
        <is>
          <t>Dividend/Share per Year</t>
        </is>
      </c>
      <c r="N11" s="6" t="inlineStr">
        <is>
          <t>Model Figure</t>
        </is>
      </c>
      <c r="O11" s="6" t="inlineStr">
        <is>
          <t>DIFF</t>
        </is>
      </c>
      <c r="P11" s="6" t="n"/>
      <c r="Q11" s="6" t="inlineStr">
        <is>
          <t>Total ETF Dividend per Year (Gross) ADJUSTED</t>
        </is>
      </c>
      <c r="R11" s="6" t="inlineStr">
        <is>
          <t>Model Figure</t>
        </is>
      </c>
      <c r="S11" s="6" t="inlineStr">
        <is>
          <t>DIFF</t>
        </is>
      </c>
      <c r="T11" s="6" t="n"/>
      <c r="U11" s="6" t="inlineStr">
        <is>
          <t>Total ETF Dividend per Month (Gross)</t>
        </is>
      </c>
      <c r="V11" s="6" t="inlineStr">
        <is>
          <t>Model Figure</t>
        </is>
      </c>
      <c r="W11" s="6" t="inlineStr">
        <is>
          <t>DIFF</t>
        </is>
      </c>
      <c r="X11" s="6" t="inlineStr">
        <is>
          <t>Total ETF Dividend per Month (Net/15% Tax)</t>
        </is>
      </c>
      <c r="Y11" s="6" t="inlineStr">
        <is>
          <t>Model Figure</t>
        </is>
      </c>
      <c r="Z11" s="6" t="inlineStr">
        <is>
          <t>DIFF</t>
        </is>
      </c>
      <c r="AA11" s="6" t="n"/>
    </row>
    <row r="12">
      <c r="A12" t="inlineStr">
        <is>
          <t>BAB</t>
        </is>
      </c>
      <c r="B12" s="5">
        <f>G12*I12</f>
        <v/>
      </c>
      <c r="C12" s="5">
        <f>G12*I12</f>
        <v/>
      </c>
      <c r="D12" s="5" t="n"/>
      <c r="E12" s="5" t="n"/>
      <c r="F12" s="5">
        <f>I12*H12</f>
        <v/>
      </c>
      <c r="G12" s="5" t="n">
        <v>27.2</v>
      </c>
      <c r="H12" s="5">
        <f>G12*0.85</f>
        <v/>
      </c>
      <c r="I12" s="4">
        <f>ROUND(((200000/6)/G12),0)</f>
        <v/>
      </c>
      <c r="J12" s="4">
        <f>ROUND(((200000/6)/G12),0)</f>
        <v/>
      </c>
      <c r="K12" s="4" t="n"/>
      <c r="L12" s="4" t="n"/>
      <c r="M12" s="2" t="n">
        <v>1.128</v>
      </c>
      <c r="N12" s="2">
        <f>M12*(1-((G12-H12)/G12))</f>
        <v/>
      </c>
      <c r="O12" s="2" t="n"/>
      <c r="P12" s="2" t="n"/>
      <c r="Q12" s="5">
        <f>M12*I12*(H12/G12)</f>
        <v/>
      </c>
      <c r="R12" s="5">
        <f>N12*J12</f>
        <v/>
      </c>
      <c r="S12" s="5" t="n"/>
      <c r="T12" s="5" t="n"/>
      <c r="U12" s="5">
        <f>Q12/12</f>
        <v/>
      </c>
      <c r="V12" s="5">
        <f>R12/12</f>
        <v/>
      </c>
      <c r="W12" s="5" t="n"/>
      <c r="X12" s="4">
        <f>U12*0.85</f>
        <v/>
      </c>
      <c r="Y12" s="4">
        <f>V12-(V12*0.15)</f>
        <v/>
      </c>
      <c r="Z12" s="4" t="n"/>
      <c r="AA12" s="4" t="n"/>
      <c r="AB12" s="13">
        <f>B12/$B$9</f>
        <v/>
      </c>
    </row>
    <row r="13">
      <c r="A13" t="inlineStr">
        <is>
          <t>BKLN</t>
        </is>
      </c>
      <c r="B13" s="5">
        <f>G13*I13</f>
        <v/>
      </c>
      <c r="C13" s="5">
        <f>G13*I13</f>
        <v/>
      </c>
      <c r="D13" s="5" t="n"/>
      <c r="E13" s="5" t="n"/>
      <c r="F13" s="5">
        <f>I13*H13</f>
        <v/>
      </c>
      <c r="G13" s="5" t="n">
        <v>21</v>
      </c>
      <c r="H13" s="5">
        <f>G13*0.85</f>
        <v/>
      </c>
      <c r="I13" s="4">
        <f>ROUND(((200000/6)/G13),0)</f>
        <v/>
      </c>
      <c r="J13" s="4">
        <f>ROUND(((200000/6)/G13),0)</f>
        <v/>
      </c>
      <c r="K13" s="4" t="n"/>
      <c r="L13" s="4" t="n"/>
      <c r="M13" s="2" t="n">
        <v>1.236</v>
      </c>
      <c r="N13" s="2">
        <f>M13*(1-((G13-H13)/G13))</f>
        <v/>
      </c>
      <c r="O13" s="2" t="n"/>
      <c r="P13" s="2" t="n"/>
      <c r="Q13" s="5">
        <f>M13*I13*(H13/G13)</f>
        <v/>
      </c>
      <c r="R13" s="5">
        <f>N13*J13</f>
        <v/>
      </c>
      <c r="S13" s="5" t="n"/>
      <c r="T13" s="5" t="n"/>
      <c r="U13" s="5">
        <f>Q13/12</f>
        <v/>
      </c>
      <c r="V13" s="5">
        <f>R13/12</f>
        <v/>
      </c>
      <c r="W13" s="5" t="n"/>
      <c r="X13" s="4">
        <f>U13*0.85</f>
        <v/>
      </c>
      <c r="Y13" s="4">
        <f>V13-(V13*0.15)</f>
        <v/>
      </c>
      <c r="Z13" s="4" t="n"/>
      <c r="AA13" s="4" t="n"/>
      <c r="AB13" s="13">
        <f>B13/$B$9</f>
        <v/>
      </c>
    </row>
    <row r="14">
      <c r="A14" t="inlineStr">
        <is>
          <t>HYBL</t>
        </is>
      </c>
      <c r="B14" s="5">
        <f>G14*I14</f>
        <v/>
      </c>
      <c r="C14" s="5">
        <f>G14*I14</f>
        <v/>
      </c>
      <c r="D14" s="5" t="n"/>
      <c r="E14" s="5" t="n"/>
      <c r="F14" s="5">
        <f>I14*H14</f>
        <v/>
      </c>
      <c r="G14" s="5" t="n">
        <v>28.44</v>
      </c>
      <c r="H14" s="5">
        <f>G14*0.85</f>
        <v/>
      </c>
      <c r="I14" s="4">
        <f>ROUND(((200000/6)/G14),0)</f>
        <v/>
      </c>
      <c r="J14" s="4">
        <f>ROUND(((200000/6)/G14),0)</f>
        <v/>
      </c>
      <c r="K14" s="4" t="n"/>
      <c r="L14" s="4" t="n"/>
      <c r="M14" s="2" t="n">
        <v>2.016</v>
      </c>
      <c r="N14" s="2">
        <f>M14*(1-((G14-H14)/G14))</f>
        <v/>
      </c>
      <c r="O14" s="2" t="n"/>
      <c r="P14" s="2" t="n"/>
      <c r="Q14" s="5">
        <f>M14*I14*(H14/G14)</f>
        <v/>
      </c>
      <c r="R14" s="5">
        <f>N14*J14</f>
        <v/>
      </c>
      <c r="S14" s="5" t="n"/>
      <c r="T14" s="5" t="n"/>
      <c r="U14" s="5">
        <f>Q14/12</f>
        <v/>
      </c>
      <c r="V14" s="5">
        <f>R14/12</f>
        <v/>
      </c>
      <c r="W14" s="5" t="n"/>
      <c r="X14" s="4">
        <f>U14*0.85</f>
        <v/>
      </c>
      <c r="Y14" s="4">
        <f>V14-(V14*0.15)</f>
        <v/>
      </c>
      <c r="Z14" s="4" t="n"/>
      <c r="AA14" s="4" t="n"/>
      <c r="AB14" s="13">
        <f>B14/$B$9</f>
        <v/>
      </c>
    </row>
    <row r="15">
      <c r="A15" t="inlineStr">
        <is>
          <t>PGHY</t>
        </is>
      </c>
      <c r="B15" s="5">
        <f>G15*I15</f>
        <v/>
      </c>
      <c r="C15" s="5">
        <f>G15*I15</f>
        <v/>
      </c>
      <c r="D15" s="5" t="n"/>
      <c r="E15" s="5" t="n"/>
      <c r="F15" s="5">
        <f>I15*H15</f>
        <v/>
      </c>
      <c r="G15" s="5" t="n">
        <v>19.895</v>
      </c>
      <c r="H15" s="5">
        <f>G15*0.85</f>
        <v/>
      </c>
      <c r="I15" s="4">
        <f>ROUND(((200000/6)/G15),0)</f>
        <v/>
      </c>
      <c r="J15" s="4">
        <f>ROUND(((200000/6)/G15),0)</f>
        <v/>
      </c>
      <c r="K15" s="4" t="n"/>
      <c r="L15" s="4" t="n"/>
      <c r="M15" s="2" t="n">
        <v>1.46028</v>
      </c>
      <c r="N15" s="2">
        <f>M15*(1-((G15-H15)/G15))</f>
        <v/>
      </c>
      <c r="O15" s="2" t="n"/>
      <c r="P15" s="2" t="n"/>
      <c r="Q15" s="5">
        <f>M15*I15*(H15/G15)</f>
        <v/>
      </c>
      <c r="R15" s="5">
        <f>N15*J15</f>
        <v/>
      </c>
      <c r="S15" s="5" t="n"/>
      <c r="T15" s="5" t="n"/>
      <c r="U15" s="5">
        <f>Q15/12</f>
        <v/>
      </c>
      <c r="V15" s="5">
        <f>R15/12</f>
        <v/>
      </c>
      <c r="W15" s="5" t="n"/>
      <c r="X15" s="4">
        <f>U15*0.85</f>
        <v/>
      </c>
      <c r="Y15" s="4">
        <f>V15-(V15*0.15)</f>
        <v/>
      </c>
      <c r="Z15" s="4" t="n"/>
      <c r="AA15" s="4" t="n"/>
      <c r="AB15" s="13">
        <f>B15/$B$9</f>
        <v/>
      </c>
    </row>
    <row r="16">
      <c r="A16" t="inlineStr">
        <is>
          <t>VRP</t>
        </is>
      </c>
      <c r="B16" s="5">
        <f>G16*I16</f>
        <v/>
      </c>
      <c r="C16" s="5">
        <f>G16*I16</f>
        <v/>
      </c>
      <c r="D16" s="5" t="n"/>
      <c r="E16" s="5" t="n"/>
      <c r="F16" s="5">
        <f>I16*H16</f>
        <v/>
      </c>
      <c r="G16" s="5" t="n">
        <v>24.33</v>
      </c>
      <c r="H16" s="5">
        <f>G16*0.85</f>
        <v/>
      </c>
      <c r="I16" s="4">
        <f>ROUND(((200000/6)/G16),0)</f>
        <v/>
      </c>
      <c r="J16" s="4">
        <f>ROUND(((200000/6)/G16),0)</f>
        <v/>
      </c>
      <c r="K16" s="4" t="n"/>
      <c r="L16" s="4" t="n"/>
      <c r="M16" s="2" t="n">
        <v>2.52</v>
      </c>
      <c r="N16" s="2">
        <f>M16*(1-((G16-H16)/G16))</f>
        <v/>
      </c>
      <c r="O16" s="2" t="n"/>
      <c r="P16" s="2" t="n"/>
      <c r="Q16" s="5">
        <f>M16*I16*(H16/G16)</f>
        <v/>
      </c>
      <c r="R16" s="5">
        <f>N16*J16</f>
        <v/>
      </c>
      <c r="S16" s="5" t="n"/>
      <c r="T16" s="5" t="n"/>
      <c r="U16" s="5">
        <f>Q16/12</f>
        <v/>
      </c>
      <c r="V16" s="5">
        <f>R16/12</f>
        <v/>
      </c>
      <c r="W16" s="5" t="n"/>
      <c r="X16" s="4">
        <f>U16*0.85</f>
        <v/>
      </c>
      <c r="Y16" s="4">
        <f>V16-(V16*0.15)</f>
        <v/>
      </c>
      <c r="Z16" s="4" t="n"/>
      <c r="AA16" s="4" t="n"/>
      <c r="AB16" s="13">
        <f>B16/$B$9</f>
        <v/>
      </c>
    </row>
    <row r="17">
      <c r="A17" t="inlineStr">
        <is>
          <t>VYMI</t>
        </is>
      </c>
      <c r="B17" s="5">
        <f>G17*I17</f>
        <v/>
      </c>
      <c r="C17" s="5">
        <f>G17*I17</f>
        <v/>
      </c>
      <c r="D17" s="5" t="n"/>
      <c r="E17" s="5" t="n"/>
      <c r="F17" s="5">
        <f>I17*H17</f>
        <v/>
      </c>
      <c r="G17" s="5" t="n">
        <v>90</v>
      </c>
      <c r="H17" s="5">
        <f>G17*0.85</f>
        <v/>
      </c>
      <c r="I17" s="4">
        <f>ROUND(((200000/6)/G17),0)</f>
        <v/>
      </c>
      <c r="J17" s="4">
        <f>ROUND(((200000/6)/G17),0)</f>
        <v/>
      </c>
      <c r="K17" s="4" t="n"/>
      <c r="L17" s="4" t="n"/>
      <c r="M17" s="2" t="n">
        <v>3.756</v>
      </c>
      <c r="N17" s="2">
        <f>M17*(1-((G17-H17)/G17))</f>
        <v/>
      </c>
      <c r="O17" s="2" t="n"/>
      <c r="P17" s="2" t="n"/>
      <c r="Q17" s="5">
        <f>M17*I17*(H17/G17)</f>
        <v/>
      </c>
      <c r="R17" s="5">
        <f>N17*J17</f>
        <v/>
      </c>
      <c r="S17" s="5" t="n"/>
      <c r="T17" s="5" t="n"/>
      <c r="U17" s="5">
        <f>Q17/12</f>
        <v/>
      </c>
      <c r="V17" s="5">
        <f>R17/12</f>
        <v/>
      </c>
      <c r="W17" s="5" t="n"/>
      <c r="X17" s="4">
        <f>U17*0.85</f>
        <v/>
      </c>
      <c r="Y17" s="4">
        <f>V17-(V17*0.15)</f>
        <v/>
      </c>
      <c r="Z17" s="4" t="n"/>
      <c r="AA17" s="4" t="n"/>
      <c r="AB17" s="13">
        <f>B17/$B$9</f>
        <v/>
      </c>
    </row>
    <row r="18">
      <c r="A18" s="14" t="inlineStr">
        <is>
          <t>AMDY</t>
        </is>
      </c>
      <c r="B18" s="9">
        <f>G18*I18</f>
        <v/>
      </c>
      <c r="C18" s="9">
        <f>G18*I18</f>
        <v/>
      </c>
      <c r="D18" s="9" t="n"/>
      <c r="E18" s="9" t="n"/>
      <c r="F18" s="9">
        <f>I18*H18</f>
        <v/>
      </c>
      <c r="G18" s="9" t="n">
        <v>38.05</v>
      </c>
      <c r="H18" s="9">
        <f>G18*0.5</f>
        <v/>
      </c>
      <c r="I18" s="10">
        <f>ROUND(((50000)/G18),0)</f>
        <v/>
      </c>
      <c r="J18" s="10">
        <f>ROUND((50000/G18),0)</f>
        <v/>
      </c>
      <c r="K18" s="10" t="n"/>
      <c r="L18" s="10" t="n"/>
      <c r="M18" s="11" t="n">
        <v>21.424</v>
      </c>
      <c r="N18" s="11">
        <f>M18*(1-((G18-H18)/G18))</f>
        <v/>
      </c>
      <c r="O18" s="11" t="n"/>
      <c r="P18" s="11" t="n"/>
      <c r="Q18" s="9">
        <f>M18*I18*(H18/G18)</f>
        <v/>
      </c>
      <c r="R18" s="9">
        <f>N18*J18</f>
        <v/>
      </c>
      <c r="S18" s="9" t="n"/>
      <c r="T18" s="9" t="n"/>
      <c r="U18" s="9">
        <f>Q18/12</f>
        <v/>
      </c>
      <c r="V18" s="9">
        <f>R18/12</f>
        <v/>
      </c>
      <c r="W18" s="9" t="n"/>
      <c r="X18" s="10">
        <f>U18*0.85</f>
        <v/>
      </c>
      <c r="Y18" s="10">
        <f>V18-(V18*0.15)</f>
        <v/>
      </c>
      <c r="Z18" s="10" t="n"/>
      <c r="AA18" s="4" t="n"/>
      <c r="AB18" s="12">
        <f>B18/$B$9</f>
        <v/>
      </c>
    </row>
    <row r="19">
      <c r="A19" s="3" t="inlineStr">
        <is>
          <t>Total</t>
        </is>
      </c>
      <c r="B19" s="7">
        <f>SUM(B12:B18)</f>
        <v/>
      </c>
      <c r="C19" s="7" t="n"/>
      <c r="D19" s="7" t="n"/>
      <c r="E19" s="7" t="n"/>
      <c r="F19" s="7">
        <f>SUM(F12:F18)</f>
        <v/>
      </c>
      <c r="G19" s="7" t="n"/>
      <c r="H19" s="3" t="n"/>
      <c r="I19" s="3" t="n"/>
      <c r="J19" s="3" t="n"/>
      <c r="K19" s="3" t="n"/>
      <c r="L19" s="3" t="n"/>
      <c r="M19" s="7">
        <f>SUM(M12:M18)</f>
        <v/>
      </c>
      <c r="N19" s="7" t="n"/>
      <c r="O19" s="15" t="n"/>
      <c r="P19" s="7" t="n"/>
      <c r="Q19" s="7">
        <f>SUM(Q12:Q18)</f>
        <v/>
      </c>
      <c r="R19" s="7">
        <f>SUM(R12:R18)</f>
        <v/>
      </c>
      <c r="S19" s="15" t="n"/>
      <c r="T19" s="7" t="n"/>
      <c r="U19" s="7">
        <f>SUM(U12:U18)</f>
        <v/>
      </c>
      <c r="V19" s="7" t="n"/>
      <c r="W19" s="15" t="n"/>
      <c r="X19" s="7">
        <f>SUM(X12:X18)</f>
        <v/>
      </c>
      <c r="Y19" s="7">
        <f>SUM(Y12:Y18)</f>
        <v/>
      </c>
      <c r="Z19" s="15" t="n"/>
      <c r="AA19" s="7" t="n"/>
      <c r="AB19" s="8">
        <f>SUM(AB12:AB18)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Ahmad, Mansoor</dc:creator>
  <dcterms:created xmlns:dcterms="http://purl.org/dc/terms/" xmlns:xsi="http://www.w3.org/2001/XMLSchema-instance" xsi:type="dcterms:W3CDTF">2024-02-04T14:11:52Z</dcterms:created>
  <dcterms:modified xmlns:dcterms="http://purl.org/dc/terms/" xmlns:xsi="http://www.w3.org/2001/XMLSchema-instance" xsi:type="dcterms:W3CDTF">2026-09-21T23:03:08Z</dcterms:modified>
  <cp:lastModifiedBy>Mansoor A</cp:lastModifiedBy>
</cp:coreProperties>
</file>